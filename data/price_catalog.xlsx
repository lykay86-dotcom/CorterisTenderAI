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c9b3b9f61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e73c277433d24aab"/>
    <x:sheet xmlns:r="http://schemas.openxmlformats.org/officeDocument/2006/relationships" name="Настройки" sheetId="2" r:id="R01a525a9e18f49d2"/>
    <x:sheet xmlns:r="http://schemas.openxmlformats.org/officeDocument/2006/relationships" name="Источники" sheetId="3" r:id="Red71107b9f9b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.00 &quot;₽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63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98467031943f7" /><Relationship Type="http://schemas.openxmlformats.org/officeDocument/2006/relationships/theme" Target="/xl/theme/theme1.xml" Id="R9b6d10cb7655447f" /><Relationship Type="http://schemas.openxmlformats.org/officeDocument/2006/relationships/sharedStrings" Target="/xl/sharedStrings.xml" Id="R6f7c1d194dd3425c" /><Relationship Type="http://schemas.openxmlformats.org/officeDocument/2006/relationships/worksheet" Target="/xl/worksheets/sheet1.xml" Id="Re73c277433d24aab" /><Relationship Type="http://schemas.openxmlformats.org/officeDocument/2006/relationships/worksheet" Target="/xl/worksheets/sheet2.xml" Id="R01a525a9e18f49d2" /><Relationship Type="http://schemas.openxmlformats.org/officeDocument/2006/relationships/worksheet" Target="/xl/worksheets/sheet3.xml" Id="Red71107b9f9b4a7c" /></Relationships>
</file>

<file path=xl/tables/table1.xml><?xml version="1.0" encoding="utf-8"?>
<x:table xmlns:x="http://schemas.openxmlformats.org/spreadsheetml/2006/main" id="1" name="PriceTable" displayName="PriceTable" ref="A1:K51" headerRowCount="1">
  <x:tableColumns count="11">
    <x:tableColumn id="1" name="Категория"/>
    <x:tableColumn id="2" name="Наименование"/>
    <x:tableColumn id="3" name="Ед."/>
    <x:tableColumn id="4" name="Базовая себестоимость, ₽"/>
    <x:tableColumn id="5" name="Рыночный минимум, ₽"/>
    <x:tableColumn id="6" name="Рыночный максимум, ₽"/>
    <x:tableColumn id="7" name="Тип"/>
    <x:tableColumn id="8" name="Примечание"/>
    <x:tableColumn id="9" name="Рекомендуемая цена без НДС, ₽"/>
    <x:tableColumn id="10" name="НДС, ₽"/>
    <x:tableColumn id="11" name="Цена с НДС, ₽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b165533c8f435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2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32" hidden="0" customWidth="1"/>
    <x:col min="9" max="9" width="22" hidden="0" customWidth="1"/>
    <x:col min="10" max="10" width="16" hidden="0" customWidth="1"/>
    <x:col min="11" max="11" width="18" hidden="0" customWidth="1"/>
  </x:cols>
  <x:sheetData>
    <x:row r="1">
      <x:c r="A1" s="13" t="str">
        <x:v>Категория</x:v>
      </x:c>
      <x:c r="B1" s="13" t="str">
        <x:v>Наименование</x:v>
      </x:c>
      <x:c r="C1" s="13" t="str">
        <x:v>Ед.</x:v>
      </x:c>
      <x:c r="D1" s="13" t="str">
        <x:v>Базовая себестоимость, ₽</x:v>
      </x:c>
      <x:c r="E1" s="13" t="str">
        <x:v>Рыночный минимум, ₽</x:v>
      </x:c>
      <x:c r="F1" s="13" t="str">
        <x:v>Рыночный максимум, ₽</x:v>
      </x:c>
      <x:c r="G1" s="13" t="str">
        <x:v>Тип</x:v>
      </x:c>
      <x:c r="H1" s="13" t="str">
        <x:v>Примечание</x:v>
      </x:c>
      <x:c r="I1" s="13" t="str">
        <x:v>Рекомендуемая цена без НДС, ₽</x:v>
      </x:c>
      <x:c r="J1" s="13" t="str">
        <x:v>НДС, ₽</x:v>
      </x:c>
      <x:c r="K1" s="13" t="str">
        <x:v>Цена с НДС, ₽</x:v>
      </x:c>
    </x:row>
    <x:row r="2">
      <x:c r="A2" s="17" t="str">
        <x:v>Видеонаблюдение</x:v>
      </x:c>
      <x:c r="B2" s="17" t="str">
        <x:v>Монтаж внутренней IP-камеры до 3 м</x:v>
      </x:c>
      <x:c r="C2" s="17" t="str">
        <x:v>шт</x:v>
      </x:c>
      <x:c r="D2" s="19" t="n">
        <x:v>2500</x:v>
      </x:c>
      <x:c r="E2" s="19" t="n">
        <x:v>1800</x:v>
      </x:c>
      <x:c r="F2" s="19" t="n">
        <x:v>3500</x:v>
      </x:c>
      <x:c r="G2" s="19" t="str">
        <x:v>Работы</x:v>
      </x:c>
      <x:c r="H2" s="19" t="str">
        <x:v>Среднее по открытым прайсам</x:v>
      </x:c>
      <x:c r="I2" s="19" t="e">
        <x:f>D2*(1+Настройки!$B$2)*(1+Настройки!$B$4)</x:f>
      </x:c>
      <x:c r="J2" s="19" t="e">
        <x:f>I2*Настройки!$B$3</x:f>
      </x:c>
      <x:c r="K2" s="19" t="e">
        <x:f>I2+J2</x:f>
      </x:c>
    </x:row>
    <x:row r="3">
      <x:c r="A3" s="17" t="str">
        <x:v>Видеонаблюдение</x:v>
      </x:c>
      <x:c r="B3" s="17" t="str">
        <x:v>Монтаж уличной IP-камеры до 3 м</x:v>
      </x:c>
      <x:c r="C3" s="17" t="str">
        <x:v>шт</x:v>
      </x:c>
      <x:c r="D3" s="19" t="n">
        <x:v>3000</x:v>
      </x:c>
      <x:c r="E3" s="19" t="n">
        <x:v>1800</x:v>
      </x:c>
      <x:c r="F3" s="19" t="n">
        <x:v>5000</x:v>
      </x:c>
      <x:c r="G3" s="19" t="str">
        <x:v>Работы</x:v>
      </x:c>
      <x:c r="H3" s="19" t="str">
        <x:v>Без автовышки</x:v>
      </x:c>
      <x:c r="I3" s="19" t="e">
        <x:f>D3*(1+Настройки!$B$2)*(1+Настройки!$B$4)</x:f>
      </x:c>
      <x:c r="J3" s="19" t="e">
        <x:f>I3*Настройки!$B$3</x:f>
      </x:c>
      <x:c r="K3" s="19" t="e">
        <x:f>I3+J3</x:f>
      </x:c>
    </x:row>
    <x:row r="4">
      <x:c r="A4" s="17" t="str">
        <x:v>Видеонаблюдение</x:v>
      </x:c>
      <x:c r="B4" s="17" t="str">
        <x:v>Монтаж PTZ-камеры</x:v>
      </x:c>
      <x:c r="C4" s="17" t="str">
        <x:v>шт</x:v>
      </x:c>
      <x:c r="D4" s="19" t="n">
        <x:v>6000</x:v>
      </x:c>
      <x:c r="E4" s="19" t="n">
        <x:v>4000</x:v>
      </x:c>
      <x:c r="F4" s="19" t="n">
        <x:v>9000</x:v>
      </x:c>
      <x:c r="G4" s="19" t="str">
        <x:v>Работы</x:v>
      </x:c>
      <x:c r="H4" s="19" t="str">
        <x:v>Кронштейн отдельно</x:v>
      </x:c>
      <x:c r="I4" s="19" t="e">
        <x:f>D4*(1+Настройки!$B$2)*(1+Настройки!$B$4)</x:f>
      </x:c>
      <x:c r="J4" s="19" t="e">
        <x:f>I4*Настройки!$B$3</x:f>
      </x:c>
      <x:c r="K4" s="19" t="e">
        <x:f>I4+J4</x:f>
      </x:c>
    </x:row>
    <x:row r="5">
      <x:c r="A5" s="17" t="str">
        <x:v>Видеонаблюдение</x:v>
      </x:c>
      <x:c r="B5" s="17" t="str">
        <x:v>Настройка видеорегистратора/NVR</x:v>
      </x:c>
      <x:c r="C5" s="17" t="str">
        <x:v>шт</x:v>
      </x:c>
      <x:c r="D5" s="19" t="n">
        <x:v>3500</x:v>
      </x:c>
      <x:c r="E5" s="19" t="n">
        <x:v>2000</x:v>
      </x:c>
      <x:c r="F5" s="19" t="n">
        <x:v>6000</x:v>
      </x:c>
      <x:c r="G5" s="19" t="str">
        <x:v>Работы</x:v>
      </x:c>
      <x:c r="H5" s="19" t="str">
        <x:v>До 16 каналов</x:v>
      </x:c>
      <x:c r="I5" s="19" t="e">
        <x:f>D5*(1+Настройки!$B$2)*(1+Настройки!$B$4)</x:f>
      </x:c>
      <x:c r="J5" s="19" t="e">
        <x:f>I5*Настройки!$B$3</x:f>
      </x:c>
      <x:c r="K5" s="19" t="e">
        <x:f>I5+J5</x:f>
      </x:c>
    </x:row>
    <x:row r="6">
      <x:c r="A6" s="17" t="str">
        <x:v>Видеонаблюдение</x:v>
      </x:c>
      <x:c r="B6" s="17" t="str">
        <x:v>Настройка сервера видеонаблюдения</x:v>
      </x:c>
      <x:c r="C6" s="17" t="str">
        <x:v>шт</x:v>
      </x:c>
      <x:c r="D6" s="19" t="n">
        <x:v>12000</x:v>
      </x:c>
      <x:c r="E6" s="19" t="n">
        <x:v>8000</x:v>
      </x:c>
      <x:c r="F6" s="19" t="n">
        <x:v>25000</x:v>
      </x:c>
      <x:c r="G6" s="19" t="str">
        <x:v>Работы</x:v>
      </x:c>
      <x:c r="H6" s="19" t="str">
        <x:v>Без лицензий ПО</x:v>
      </x:c>
      <x:c r="I6" s="19" t="e">
        <x:f>D6*(1+Настройки!$B$2)*(1+Настройки!$B$4)</x:f>
      </x:c>
      <x:c r="J6" s="19" t="e">
        <x:f>I6*Настройки!$B$3</x:f>
      </x:c>
      <x:c r="K6" s="19" t="e">
        <x:f>I6+J6</x:f>
      </x:c>
    </x:row>
    <x:row r="7">
      <x:c r="A7" s="17" t="str">
        <x:v>Видеонаблюдение</x:v>
      </x:c>
      <x:c r="B7" s="17" t="str">
        <x:v>Прокладка UTP открыто</x:v>
      </x:c>
      <x:c r="C7" s="17" t="str">
        <x:v>м</x:v>
      </x:c>
      <x:c r="D7" s="19" t="n">
        <x:v>120</x:v>
      </x:c>
      <x:c r="E7" s="19" t="n">
        <x:v>80</x:v>
      </x:c>
      <x:c r="F7" s="19" t="n">
        <x:v>180</x:v>
      </x:c>
      <x:c r="G7" s="19" t="str">
        <x:v>Работы</x:v>
      </x:c>
      <x:c r="H7" s="19" t="str">
        <x:v>Без материалов</x:v>
      </x:c>
      <x:c r="I7" s="19" t="e">
        <x:f>D7*(1+Настройки!$B$2)*(1+Настройки!$B$4)</x:f>
      </x:c>
      <x:c r="J7" s="19" t="e">
        <x:f>I7*Настройки!$B$3</x:f>
      </x:c>
      <x:c r="K7" s="19" t="e">
        <x:f>I7+J7</x:f>
      </x:c>
    </x:row>
    <x:row r="8">
      <x:c r="A8" s="17" t="str">
        <x:v>Видеонаблюдение</x:v>
      </x:c>
      <x:c r="B8" s="17" t="str">
        <x:v>Прокладка UTP в гофре/лотке</x:v>
      </x:c>
      <x:c r="C8" s="17" t="str">
        <x:v>м</x:v>
      </x:c>
      <x:c r="D8" s="19" t="n">
        <x:v>180</x:v>
      </x:c>
      <x:c r="E8" s="19" t="n">
        <x:v>120</x:v>
      </x:c>
      <x:c r="F8" s="19" t="n">
        <x:v>280</x:v>
      </x:c>
      <x:c r="G8" s="19" t="str">
        <x:v>Работы</x:v>
      </x:c>
      <x:c r="H8" s="19" t="str">
        <x:v>Без материалов</x:v>
      </x:c>
      <x:c r="I8" s="19" t="e">
        <x:f>D8*(1+Настройки!$B$2)*(1+Настройки!$B$4)</x:f>
      </x:c>
      <x:c r="J8" s="19" t="e">
        <x:f>I8*Настройки!$B$3</x:f>
      </x:c>
      <x:c r="K8" s="19" t="e">
        <x:f>I8+J8</x:f>
      </x:c>
    </x:row>
    <x:row r="9">
      <x:c r="A9" s="17" t="str">
        <x:v>Видеонаблюдение</x:v>
      </x:c>
      <x:c r="B9" s="17" t="str">
        <x:v>Обслуживание камеры в месяц</x:v>
      </x:c>
      <x:c r="C9" s="17" t="str">
        <x:v>кам/мес</x:v>
      </x:c>
      <x:c r="D9" s="19" t="n">
        <x:v>350</x:v>
      </x:c>
      <x:c r="E9" s="19" t="n">
        <x:v>250</x:v>
      </x:c>
      <x:c r="F9" s="19" t="n">
        <x:v>500</x:v>
      </x:c>
      <x:c r="G9" s="19" t="str">
        <x:v>Сервис</x:v>
      </x:c>
      <x:c r="H9" s="19" t="str">
        <x:v>Минимальный выезд отдельно</x:v>
      </x:c>
      <x:c r="I9" s="19" t="e">
        <x:f>D9*(1+Настройки!$B$2)*(1+Настройки!$B$4)</x:f>
      </x:c>
      <x:c r="J9" s="19" t="e">
        <x:f>I9*Настройки!$B$3</x:f>
      </x:c>
      <x:c r="K9" s="19" t="e">
        <x:f>I9+J9</x:f>
      </x:c>
    </x:row>
    <x:row r="10">
      <x:c r="A10" s="17" t="str">
        <x:v>СКУД</x:v>
      </x:c>
      <x:c r="B10" s="17" t="str">
        <x:v>Установка СКУД на одну дверь под ключ, работы</x:v>
      </x:c>
      <x:c r="C10" s="17" t="str">
        <x:v>дверь</x:v>
      </x:c>
      <x:c r="D10" s="19" t="n">
        <x:v>32000</x:v>
      </x:c>
      <x:c r="E10" s="19" t="n">
        <x:v>25000</x:v>
      </x:c>
      <x:c r="F10" s="19" t="n">
        <x:v>45000</x:v>
      </x:c>
      <x:c r="G10" s="19" t="str">
        <x:v>Работы</x:v>
      </x:c>
      <x:c r="H10" s="19" t="str">
        <x:v>Без стоимости оборудования</x:v>
      </x:c>
      <x:c r="I10" s="19" t="e">
        <x:f>D10*(1+Настройки!$B$2)*(1+Настройки!$B$4)</x:f>
      </x:c>
      <x:c r="J10" s="19" t="e">
        <x:f>I10*Настройки!$B$3</x:f>
      </x:c>
      <x:c r="K10" s="19" t="e">
        <x:f>I10+J10</x:f>
      </x:c>
    </x:row>
    <x:row r="11">
      <x:c r="A11" s="17" t="str">
        <x:v>СКУД</x:v>
      </x:c>
      <x:c r="B11" s="17" t="str">
        <x:v>Монтаж сетевого контроллера</x:v>
      </x:c>
      <x:c r="C11" s="17" t="str">
        <x:v>шт</x:v>
      </x:c>
      <x:c r="D11" s="19" t="n">
        <x:v>4000</x:v>
      </x:c>
      <x:c r="E11" s="19" t="n">
        <x:v>2000</x:v>
      </x:c>
      <x:c r="F11" s="19" t="n">
        <x:v>5500</x:v>
      </x:c>
      <x:c r="G11" s="19" t="str">
        <x:v>Работы</x:v>
      </x:c>
      <x:c r="H11" s="19" t="str">
        <x:v>С программированием базовых параметров</x:v>
      </x:c>
      <x:c r="I11" s="19" t="e">
        <x:f>D11*(1+Настройки!$B$2)*(1+Настройки!$B$4)</x:f>
      </x:c>
      <x:c r="J11" s="19" t="e">
        <x:f>I11*Настройки!$B$3</x:f>
      </x:c>
      <x:c r="K11" s="19" t="e">
        <x:f>I11+J11</x:f>
      </x:c>
    </x:row>
    <x:row r="12">
      <x:c r="A12" s="17" t="str">
        <x:v>СКУД</x:v>
      </x:c>
      <x:c r="B12" s="17" t="str">
        <x:v>Монтаж накладного считывателя</x:v>
      </x:c>
      <x:c r="C12" s="17" t="str">
        <x:v>шт</x:v>
      </x:c>
      <x:c r="D12" s="19" t="n">
        <x:v>2200</x:v>
      </x:c>
      <x:c r="E12" s="19" t="n">
        <x:v>1500</x:v>
      </x:c>
      <x:c r="F12" s="19" t="n">
        <x:v>3000</x:v>
      </x:c>
      <x:c r="G12" s="19" t="str">
        <x:v>Работы</x:v>
      </x:c>
      <x:c r="H12" s="19" t="str">
        <x:v>Внутренний/уличный</x:v>
      </x:c>
      <x:c r="I12" s="19" t="e">
        <x:f>D12*(1+Настройки!$B$2)*(1+Настройки!$B$4)</x:f>
      </x:c>
      <x:c r="J12" s="19" t="e">
        <x:f>I12*Настройки!$B$3</x:f>
      </x:c>
      <x:c r="K12" s="19" t="e">
        <x:f>I12+J12</x:f>
      </x:c>
    </x:row>
    <x:row r="13">
      <x:c r="A13" s="17" t="str">
        <x:v>СКУД</x:v>
      </x:c>
      <x:c r="B13" s="17" t="str">
        <x:v>Монтаж кнопки выхода</x:v>
      </x:c>
      <x:c r="C13" s="17" t="str">
        <x:v>шт</x:v>
      </x:c>
      <x:c r="D13" s="19" t="n">
        <x:v>1200</x:v>
      </x:c>
      <x:c r="E13" s="19" t="n">
        <x:v>900</x:v>
      </x:c>
      <x:c r="F13" s="19" t="n">
        <x:v>1700</x:v>
      </x:c>
      <x:c r="G13" s="19" t="str">
        <x:v>Работы</x:v>
      </x:c>
      <x:c r="H13" s="19" t="str">
        <x:v>Без кабеля</x:v>
      </x:c>
      <x:c r="I13" s="19" t="e">
        <x:f>D13*(1+Настройки!$B$2)*(1+Настройки!$B$4)</x:f>
      </x:c>
      <x:c r="J13" s="19" t="e">
        <x:f>I13*Настройки!$B$3</x:f>
      </x:c>
      <x:c r="K13" s="19" t="e">
        <x:f>I13+J13</x:f>
      </x:c>
    </x:row>
    <x:row r="14">
      <x:c r="A14" s="17" t="str">
        <x:v>СКУД</x:v>
      </x:c>
      <x:c r="B14" s="17" t="str">
        <x:v>Монтаж электромагнитного замка</x:v>
      </x:c>
      <x:c r="C14" s="17" t="str">
        <x:v>шт</x:v>
      </x:c>
      <x:c r="D14" s="19" t="n">
        <x:v>5500</x:v>
      </x:c>
      <x:c r="E14" s="19" t="n">
        <x:v>3500</x:v>
      </x:c>
      <x:c r="F14" s="19" t="n">
        <x:v>8500</x:v>
      </x:c>
      <x:c r="G14" s="19" t="str">
        <x:v>Работы</x:v>
      </x:c>
      <x:c r="H14" s="19" t="str">
        <x:v>Без сложной доработки двери</x:v>
      </x:c>
      <x:c r="I14" s="19" t="e">
        <x:f>D14*(1+Настройки!$B$2)*(1+Настройки!$B$4)</x:f>
      </x:c>
      <x:c r="J14" s="19" t="e">
        <x:f>I14*Настройки!$B$3</x:f>
      </x:c>
      <x:c r="K14" s="19" t="e">
        <x:f>I14+J14</x:f>
      </x:c>
    </x:row>
    <x:row r="15">
      <x:c r="A15" s="17" t="str">
        <x:v>СКУД</x:v>
      </x:c>
      <x:c r="B15" s="17" t="str">
        <x:v>Монтаж доводчика</x:v>
      </x:c>
      <x:c r="C15" s="17" t="str">
        <x:v>шт</x:v>
      </x:c>
      <x:c r="D15" s="19" t="n">
        <x:v>3500</x:v>
      </x:c>
      <x:c r="E15" s="19" t="n">
        <x:v>2500</x:v>
      </x:c>
      <x:c r="F15" s="19" t="n">
        <x:v>5500</x:v>
      </x:c>
      <x:c r="G15" s="19" t="str">
        <x:v>Работы</x:v>
      </x:c>
      <x:c r="H15" s="19" t="str">
        <x:v>Без усиления полотна</x:v>
      </x:c>
      <x:c r="I15" s="19" t="e">
        <x:f>D15*(1+Настройки!$B$2)*(1+Настройки!$B$4)</x:f>
      </x:c>
      <x:c r="J15" s="19" t="e">
        <x:f>I15*Настройки!$B$3</x:f>
      </x:c>
      <x:c r="K15" s="19" t="e">
        <x:f>I15+J15</x:f>
      </x:c>
    </x:row>
    <x:row r="16">
      <x:c r="A16" s="17" t="str">
        <x:v>СКУД</x:v>
      </x:c>
      <x:c r="B16" s="17" t="str">
        <x:v>Настройка ПО СКУД</x:v>
      </x:c>
      <x:c r="C16" s="17" t="str">
        <x:v>компл</x:v>
      </x:c>
      <x:c r="D16" s="19" t="n">
        <x:v>8000</x:v>
      </x:c>
      <x:c r="E16" s="19" t="n">
        <x:v>5500</x:v>
      </x:c>
      <x:c r="F16" s="19" t="n">
        <x:v>15000</x:v>
      </x:c>
      <x:c r="G16" s="19" t="str">
        <x:v>Работы</x:v>
      </x:c>
      <x:c r="H16" s="19" t="str">
        <x:v>Одно рабочее место</x:v>
      </x:c>
      <x:c r="I16" s="19" t="e">
        <x:f>D16*(1+Настройки!$B$2)*(1+Настройки!$B$4)</x:f>
      </x:c>
      <x:c r="J16" s="19" t="e">
        <x:f>I16*Настройки!$B$3</x:f>
      </x:c>
      <x:c r="K16" s="19" t="e">
        <x:f>I16+J16</x:f>
      </x:c>
    </x:row>
    <x:row r="17">
      <x:c r="A17" s="17" t="str">
        <x:v>СКУД</x:v>
      </x:c>
      <x:c r="B17" s="17" t="str">
        <x:v>Обследование объекта</x:v>
      </x:c>
      <x:c r="C17" s="17" t="str">
        <x:v>выезд</x:v>
      </x:c>
      <x:c r="D17" s="19" t="n">
        <x:v>7000</x:v>
      </x:c>
      <x:c r="E17" s="19" t="n">
        <x:v>3500</x:v>
      </x:c>
      <x:c r="F17" s="19" t="n">
        <x:v>12000</x:v>
      </x:c>
      <x:c r="G17" s="19" t="str">
        <x:v>Работы</x:v>
      </x:c>
      <x:c r="H17" s="19" t="str">
        <x:v>Москва/МО</x:v>
      </x:c>
      <x:c r="I17" s="19" t="e">
        <x:f>D17*(1+Настройки!$B$2)*(1+Настройки!$B$4)</x:f>
      </x:c>
      <x:c r="J17" s="19" t="e">
        <x:f>I17*Настройки!$B$3</x:f>
      </x:c>
      <x:c r="K17" s="19" t="e">
        <x:f>I17+J17</x:f>
      </x:c>
    </x:row>
    <x:row r="18">
      <x:c r="A18" s="17" t="str">
        <x:v>ОПС/АПС</x:v>
      </x:c>
      <x:c r="B18" s="17" t="str">
        <x:v>Монтаж пожарного извещателя</x:v>
      </x:c>
      <x:c r="C18" s="17" t="str">
        <x:v>шт</x:v>
      </x:c>
      <x:c r="D18" s="19" t="n">
        <x:v>1200</x:v>
      </x:c>
      <x:c r="E18" s="19" t="n">
        <x:v>800</x:v>
      </x:c>
      <x:c r="F18" s="19" t="n">
        <x:v>1800</x:v>
      </x:c>
      <x:c r="G18" s="19" t="str">
        <x:v>Работы</x:v>
      </x:c>
      <x:c r="H18" s="19" t="str">
        <x:v>Без кабеля и высотности</x:v>
      </x:c>
      <x:c r="I18" s="19" t="e">
        <x:f>D18*(1+Настройки!$B$2)*(1+Настройки!$B$4)</x:f>
      </x:c>
      <x:c r="J18" s="19" t="e">
        <x:f>I18*Настройки!$B$3</x:f>
      </x:c>
      <x:c r="K18" s="19" t="e">
        <x:f>I18+J18</x:f>
      </x:c>
    </x:row>
    <x:row r="19">
      <x:c r="A19" s="17" t="str">
        <x:v>ОПС/АПС</x:v>
      </x:c>
      <x:c r="B19" s="17" t="str">
        <x:v>Монтаж охранного извещателя</x:v>
      </x:c>
      <x:c r="C19" s="17" t="str">
        <x:v>шт</x:v>
      </x:c>
      <x:c r="D19" s="19" t="n">
        <x:v>1300</x:v>
      </x:c>
      <x:c r="E19" s="19" t="n">
        <x:v>900</x:v>
      </x:c>
      <x:c r="F19" s="19" t="n">
        <x:v>2000</x:v>
      </x:c>
      <x:c r="G19" s="19" t="str">
        <x:v>Работы</x:v>
      </x:c>
      <x:c r="H19" s="19" t="str">
        <x:v>Без кабеля</x:v>
      </x:c>
      <x:c r="I19" s="19" t="e">
        <x:f>D19*(1+Настройки!$B$2)*(1+Настройки!$B$4)</x:f>
      </x:c>
      <x:c r="J19" s="19" t="e">
        <x:f>I19*Настройки!$B$3</x:f>
      </x:c>
      <x:c r="K19" s="19" t="e">
        <x:f>I19+J19</x:f>
      </x:c>
    </x:row>
    <x:row r="20">
      <x:c r="A20" s="17" t="str">
        <x:v>ОПС/АПС</x:v>
      </x:c>
      <x:c r="B20" s="17" t="str">
        <x:v>Монтаж ручного извещателя</x:v>
      </x:c>
      <x:c r="C20" s="17" t="str">
        <x:v>шт</x:v>
      </x:c>
      <x:c r="D20" s="19" t="n">
        <x:v>1300</x:v>
      </x:c>
      <x:c r="E20" s="19" t="n">
        <x:v>900</x:v>
      </x:c>
      <x:c r="F20" s="19" t="n">
        <x:v>1900</x:v>
      </x:c>
      <x:c r="G20" s="19" t="str">
        <x:v>Работы</x:v>
      </x:c>
      <x:c r="H20" s="19" t="str">
        <x:v>Без кабеля</x:v>
      </x:c>
      <x:c r="I20" s="19" t="e">
        <x:f>D20*(1+Настройки!$B$2)*(1+Настройки!$B$4)</x:f>
      </x:c>
      <x:c r="J20" s="19" t="e">
        <x:f>I20*Настройки!$B$3</x:f>
      </x:c>
      <x:c r="K20" s="19" t="e">
        <x:f>I20+J20</x:f>
      </x:c>
    </x:row>
    <x:row r="21">
      <x:c r="A21" s="17" t="str">
        <x:v>ОПС/АПС</x:v>
      </x:c>
      <x:c r="B21" s="17" t="str">
        <x:v>Монтаж оповещателя</x:v>
      </x:c>
      <x:c r="C21" s="17" t="str">
        <x:v>шт</x:v>
      </x:c>
      <x:c r="D21" s="19" t="n">
        <x:v>1500</x:v>
      </x:c>
      <x:c r="E21" s="19" t="n">
        <x:v>1000</x:v>
      </x:c>
      <x:c r="F21" s="19" t="n">
        <x:v>2300</x:v>
      </x:c>
      <x:c r="G21" s="19" t="str">
        <x:v>Работы</x:v>
      </x:c>
      <x:c r="H21" s="19" t="str">
        <x:v>Сирена/табло</x:v>
      </x:c>
      <x:c r="I21" s="19" t="e">
        <x:f>D21*(1+Настройки!$B$2)*(1+Настройки!$B$4)</x:f>
      </x:c>
      <x:c r="J21" s="19" t="e">
        <x:f>I21*Настройки!$B$3</x:f>
      </x:c>
      <x:c r="K21" s="19" t="e">
        <x:f>I21+J21</x:f>
      </x:c>
    </x:row>
    <x:row r="22">
      <x:c r="A22" s="17" t="str">
        <x:v>ОПС/АПС</x:v>
      </x:c>
      <x:c r="B22" s="17" t="str">
        <x:v>Монтаж прибора приёмно-контрольного</x:v>
      </x:c>
      <x:c r="C22" s="17" t="str">
        <x:v>шт</x:v>
      </x:c>
      <x:c r="D22" s="19" t="n">
        <x:v>9000</x:v>
      </x:c>
      <x:c r="E22" s="19" t="n">
        <x:v>6000</x:v>
      </x:c>
      <x:c r="F22" s="19" t="n">
        <x:v>15000</x:v>
      </x:c>
      <x:c r="G22" s="19" t="str">
        <x:v>Работы</x:v>
      </x:c>
      <x:c r="H22" s="19" t="str">
        <x:v>Без программирования сложной логики</x:v>
      </x:c>
      <x:c r="I22" s="19" t="e">
        <x:f>D22*(1+Настройки!$B$2)*(1+Настройки!$B$4)</x:f>
      </x:c>
      <x:c r="J22" s="19" t="e">
        <x:f>I22*Настройки!$B$3</x:f>
      </x:c>
      <x:c r="K22" s="19" t="e">
        <x:f>I22+J22</x:f>
      </x:c>
    </x:row>
    <x:row r="23">
      <x:c r="A23" s="17" t="str">
        <x:v>ОПС/АПС</x:v>
      </x:c>
      <x:c r="B23" s="17" t="str">
        <x:v>Программирование и ПНР системы</x:v>
      </x:c>
      <x:c r="C23" s="17" t="str">
        <x:v>компл</x:v>
      </x:c>
      <x:c r="D23" s="19" t="n">
        <x:v>18000</x:v>
      </x:c>
      <x:c r="E23" s="19" t="n">
        <x:v>10000</x:v>
      </x:c>
      <x:c r="F23" s="19" t="n">
        <x:v>35000</x:v>
      </x:c>
      <x:c r="G23" s="19" t="str">
        <x:v>Работы</x:v>
      </x:c>
      <x:c r="H23" s="19" t="str">
        <x:v>Зависит от количества зон</x:v>
      </x:c>
      <x:c r="I23" s="19" t="e">
        <x:f>D23*(1+Настройки!$B$2)*(1+Настройки!$B$4)</x:f>
      </x:c>
      <x:c r="J23" s="19" t="e">
        <x:f>I23*Настройки!$B$3</x:f>
      </x:c>
      <x:c r="K23" s="19" t="e">
        <x:f>I23+J23</x:f>
      </x:c>
    </x:row>
    <x:row r="24">
      <x:c r="A24" s="17" t="str">
        <x:v>Слаботочные системы</x:v>
      </x:c>
      <x:c r="B24" s="17" t="str">
        <x:v>Монтаж кабельного лотка</x:v>
      </x:c>
      <x:c r="C24" s="17" t="str">
        <x:v>м</x:v>
      </x:c>
      <x:c r="D24" s="19" t="n">
        <x:v>550</x:v>
      </x:c>
      <x:c r="E24" s="19" t="n">
        <x:v>350</x:v>
      </x:c>
      <x:c r="F24" s="19" t="n">
        <x:v>900</x:v>
      </x:c>
      <x:c r="G24" s="19" t="str">
        <x:v>Работы</x:v>
      </x:c>
      <x:c r="H24" s="19" t="str">
        <x:v>Без материала</x:v>
      </x:c>
      <x:c r="I24" s="19" t="e">
        <x:f>D24*(1+Настройки!$B$2)*(1+Настройки!$B$4)</x:f>
      </x:c>
      <x:c r="J24" s="19" t="e">
        <x:f>I24*Настройки!$B$3</x:f>
      </x:c>
      <x:c r="K24" s="19" t="e">
        <x:f>I24+J24</x:f>
      </x:c>
    </x:row>
    <x:row r="25">
      <x:c r="A25" s="17" t="str">
        <x:v>Слаботочные системы</x:v>
      </x:c>
      <x:c r="B25" s="17" t="str">
        <x:v>Монтаж гофры ПВХ</x:v>
      </x:c>
      <x:c r="C25" s="17" t="str">
        <x:v>м</x:v>
      </x:c>
      <x:c r="D25" s="19" t="n">
        <x:v>120</x:v>
      </x:c>
      <x:c r="E25" s="19" t="n">
        <x:v>80</x:v>
      </x:c>
      <x:c r="F25" s="19" t="n">
        <x:v>180</x:v>
      </x:c>
      <x:c r="G25" s="19" t="str">
        <x:v>Работы</x:v>
      </x:c>
      <x:c r="H25" s="19" t="str">
        <x:v>Без материала</x:v>
      </x:c>
      <x:c r="I25" s="19" t="e">
        <x:f>D25*(1+Настройки!$B$2)*(1+Настройки!$B$4)</x:f>
      </x:c>
      <x:c r="J25" s="19" t="e">
        <x:f>I25*Настройки!$B$3</x:f>
      </x:c>
      <x:c r="K25" s="19" t="e">
        <x:f>I25+J25</x:f>
      </x:c>
    </x:row>
    <x:row r="26">
      <x:c r="A26" s="17" t="str">
        <x:v>Слаботочные системы</x:v>
      </x:c>
      <x:c r="B26" s="17" t="str">
        <x:v>Проходка стены до 300 мм</x:v>
      </x:c>
      <x:c r="C26" s="17" t="str">
        <x:v>шт</x:v>
      </x:c>
      <x:c r="D26" s="19" t="n">
        <x:v>1800</x:v>
      </x:c>
      <x:c r="E26" s="19" t="n">
        <x:v>1200</x:v>
      </x:c>
      <x:c r="F26" s="19" t="n">
        <x:v>3000</x:v>
      </x:c>
      <x:c r="G26" s="19" t="str">
        <x:v>Работы</x:v>
      </x:c>
      <x:c r="H26" s="19" t="str">
        <x:v>Без алмазного бурения</x:v>
      </x:c>
      <x:c r="I26" s="19" t="e">
        <x:f>D26*(1+Настройки!$B$2)*(1+Настройки!$B$4)</x:f>
      </x:c>
      <x:c r="J26" s="19" t="e">
        <x:f>I26*Настройки!$B$3</x:f>
      </x:c>
      <x:c r="K26" s="19" t="e">
        <x:f>I26+J26</x:f>
      </x:c>
    </x:row>
    <x:row r="27">
      <x:c r="A27" s="17" t="str">
        <x:v>Слаботочные системы</x:v>
      </x:c>
      <x:c r="B27" s="17" t="str">
        <x:v>Маркировка линии</x:v>
      </x:c>
      <x:c r="C27" s="17" t="str">
        <x:v>шт</x:v>
      </x:c>
      <x:c r="D27" s="19" t="n">
        <x:v>200</x:v>
      </x:c>
      <x:c r="E27" s="19" t="n">
        <x:v>150</x:v>
      </x:c>
      <x:c r="F27" s="19" t="n">
        <x:v>350</x:v>
      </x:c>
      <x:c r="G27" s="19" t="str">
        <x:v>Работы</x:v>
      </x:c>
      <x:c r="H27" s="19" t="str"/>
      <x:c r="I27" s="19" t="e">
        <x:f>D27*(1+Настройки!$B$2)*(1+Настройки!$B$4)</x:f>
      </x:c>
      <x:c r="J27" s="19" t="e">
        <x:f>I27*Настройки!$B$3</x:f>
      </x:c>
      <x:c r="K27" s="19" t="e">
        <x:f>I27+J27</x:f>
      </x:c>
    </x:row>
    <x:row r="28">
      <x:c r="A28" s="17" t="str">
        <x:v>Слаботочные системы</x:v>
      </x:c>
      <x:c r="B28" s="17" t="str">
        <x:v>Тестирование линии</x:v>
      </x:c>
      <x:c r="C28" s="17" t="str">
        <x:v>шт</x:v>
      </x:c>
      <x:c r="D28" s="19" t="n">
        <x:v>450</x:v>
      </x:c>
      <x:c r="E28" s="19" t="n">
        <x:v>300</x:v>
      </x:c>
      <x:c r="F28" s="19" t="n">
        <x:v>800</x:v>
      </x:c>
      <x:c r="G28" s="19" t="str">
        <x:v>Работы</x:v>
      </x:c>
      <x:c r="H28" s="19" t="str">
        <x:v>Базовый тест</x:v>
      </x:c>
      <x:c r="I28" s="19" t="e">
        <x:f>D28*(1+Настройки!$B$2)*(1+Настройки!$B$4)</x:f>
      </x:c>
      <x:c r="J28" s="19" t="e">
        <x:f>I28*Настройки!$B$3</x:f>
      </x:c>
      <x:c r="K28" s="19" t="e">
        <x:f>I28+J28</x:f>
      </x:c>
    </x:row>
    <x:row r="29">
      <x:c r="A29" s="17" t="str">
        <x:v>Шлагбаумы</x:v>
      </x:c>
      <x:c r="B29" s="17" t="str">
        <x:v>Монтаж автоматического шлагбаума</x:v>
      </x:c>
      <x:c r="C29" s="17" t="str">
        <x:v>компл</x:v>
      </x:c>
      <x:c r="D29" s="19" t="n">
        <x:v>45000</x:v>
      </x:c>
      <x:c r="E29" s="19" t="n">
        <x:v>30000</x:v>
      </x:c>
      <x:c r="F29" s="19" t="n">
        <x:v>70000</x:v>
      </x:c>
      <x:c r="G29" s="19" t="str">
        <x:v>Работы</x:v>
      </x:c>
      <x:c r="H29" s="19" t="str">
        <x:v>Без фундамента и оборудования</x:v>
      </x:c>
      <x:c r="I29" s="19" t="e">
        <x:f>D29*(1+Настройки!$B$2)*(1+Настройки!$B$4)</x:f>
      </x:c>
      <x:c r="J29" s="19" t="e">
        <x:f>I29*Настройки!$B$3</x:f>
      </x:c>
      <x:c r="K29" s="19" t="e">
        <x:f>I29+J29</x:f>
      </x:c>
    </x:row>
    <x:row r="30">
      <x:c r="A30" s="17" t="str">
        <x:v>Шлагбаумы</x:v>
      </x:c>
      <x:c r="B30" s="17" t="str">
        <x:v>Фундамент под шлагбаум</x:v>
      </x:c>
      <x:c r="C30" s="17" t="str">
        <x:v>компл</x:v>
      </x:c>
      <x:c r="D30" s="19" t="n">
        <x:v>35000</x:v>
      </x:c>
      <x:c r="E30" s="19" t="n">
        <x:v>25000</x:v>
      </x:c>
      <x:c r="F30" s="19" t="n">
        <x:v>60000</x:v>
      </x:c>
      <x:c r="G30" s="19" t="str">
        <x:v>Работы</x:v>
      </x:c>
      <x:c r="H30" s="19" t="str">
        <x:v>Зависит от грунта</x:v>
      </x:c>
      <x:c r="I30" s="19" t="e">
        <x:f>D30*(1+Настройки!$B$2)*(1+Настройки!$B$4)</x:f>
      </x:c>
      <x:c r="J30" s="19" t="e">
        <x:f>I30*Настройки!$B$3</x:f>
      </x:c>
      <x:c r="K30" s="19" t="e">
        <x:f>I30+J30</x:f>
      </x:c>
    </x:row>
    <x:row r="31">
      <x:c r="A31" s="17" t="str">
        <x:v>Шлагбаумы</x:v>
      </x:c>
      <x:c r="B31" s="17" t="str">
        <x:v>Монтаж фотоэлемента</x:v>
      </x:c>
      <x:c r="C31" s="17" t="str">
        <x:v>шт</x:v>
      </x:c>
      <x:c r="D31" s="19" t="n">
        <x:v>3000</x:v>
      </x:c>
      <x:c r="E31" s="19" t="n">
        <x:v>2000</x:v>
      </x:c>
      <x:c r="F31" s="19" t="n">
        <x:v>4500</x:v>
      </x:c>
      <x:c r="G31" s="19" t="str">
        <x:v>Работы</x:v>
      </x:c>
      <x:c r="H31" s="19" t="str">
        <x:v>Без стойки</x:v>
      </x:c>
      <x:c r="I31" s="19" t="e">
        <x:f>D31*(1+Настройки!$B$2)*(1+Настройки!$B$4)</x:f>
      </x:c>
      <x:c r="J31" s="19" t="e">
        <x:f>I31*Настройки!$B$3</x:f>
      </x:c>
      <x:c r="K31" s="19" t="e">
        <x:f>I31+J31</x:f>
      </x:c>
    </x:row>
    <x:row r="32">
      <x:c r="A32" s="17" t="str">
        <x:v>Шлагбаумы</x:v>
      </x:c>
      <x:c r="B32" s="17" t="str">
        <x:v>Монтаж стойки фотоэлемента</x:v>
      </x:c>
      <x:c r="C32" s="17" t="str">
        <x:v>шт</x:v>
      </x:c>
      <x:c r="D32" s="19" t="n">
        <x:v>3500</x:v>
      </x:c>
      <x:c r="E32" s="19" t="n">
        <x:v>2500</x:v>
      </x:c>
      <x:c r="F32" s="19" t="n">
        <x:v>5500</x:v>
      </x:c>
      <x:c r="G32" s="19" t="str">
        <x:v>Работы</x:v>
      </x:c>
      <x:c r="H32" s="19" t="str">
        <x:v>С бетонированием</x:v>
      </x:c>
      <x:c r="I32" s="19" t="e">
        <x:f>D32*(1+Настройки!$B$2)*(1+Настройки!$B$4)</x:f>
      </x:c>
      <x:c r="J32" s="19" t="e">
        <x:f>I32*Настройки!$B$3</x:f>
      </x:c>
      <x:c r="K32" s="19" t="e">
        <x:f>I32+J32</x:f>
      </x:c>
    </x:row>
    <x:row r="33">
      <x:c r="A33" s="17" t="str">
        <x:v>Шлагбаумы</x:v>
      </x:c>
      <x:c r="B33" s="17" t="str">
        <x:v>Настройка распознавания номеров</x:v>
      </x:c>
      <x:c r="C33" s="17" t="str">
        <x:v>направление</x:v>
      </x:c>
      <x:c r="D33" s="19" t="n">
        <x:v>18000</x:v>
      </x:c>
      <x:c r="E33" s="19" t="n">
        <x:v>12000</x:v>
      </x:c>
      <x:c r="F33" s="19" t="n">
        <x:v>35000</x:v>
      </x:c>
      <x:c r="G33" s="19" t="str">
        <x:v>Работы</x:v>
      </x:c>
      <x:c r="H33" s="19" t="str">
        <x:v>Без лицензии ПО</x:v>
      </x:c>
      <x:c r="I33" s="19" t="e">
        <x:f>D33*(1+Настройки!$B$2)*(1+Настройки!$B$4)</x:f>
      </x:c>
      <x:c r="J33" s="19" t="e">
        <x:f>I33*Настройки!$B$3</x:f>
      </x:c>
      <x:c r="K33" s="19" t="e">
        <x:f>I33+J33</x:f>
      </x:c>
    </x:row>
    <x:row r="34">
      <x:c r="A34" s="17" t="str">
        <x:v>Шлагбаумы</x:v>
      </x:c>
      <x:c r="B34" s="17" t="str">
        <x:v>Монтаж беспроводного моста</x:v>
      </x:c>
      <x:c r="C34" s="17" t="str">
        <x:v>компл</x:v>
      </x:c>
      <x:c r="D34" s="19" t="n">
        <x:v>18000</x:v>
      </x:c>
      <x:c r="E34" s="19" t="n">
        <x:v>12000</x:v>
      </x:c>
      <x:c r="F34" s="19" t="n">
        <x:v>30000</x:v>
      </x:c>
      <x:c r="G34" s="19" t="str">
        <x:v>Работы</x:v>
      </x:c>
      <x:c r="H34" s="19" t="str">
        <x:v>Без оборудования</x:v>
      </x:c>
      <x:c r="I34" s="19" t="e">
        <x:f>D34*(1+Настройки!$B$2)*(1+Настройки!$B$4)</x:f>
      </x:c>
      <x:c r="J34" s="19" t="e">
        <x:f>I34*Настройки!$B$3</x:f>
      </x:c>
      <x:c r="K34" s="19" t="e">
        <x:f>I34+J34</x:f>
      </x:c>
    </x:row>
    <x:row r="35">
      <x:c r="A35" s="17" t="str">
        <x:v>Документация</x:v>
      </x:c>
      <x:c r="B35" s="17" t="str">
        <x:v>Исполнительная документация</x:v>
      </x:c>
      <x:c r="C35" s="17" t="str">
        <x:v>компл</x:v>
      </x:c>
      <x:c r="D35" s="19" t="n">
        <x:v>18000</x:v>
      </x:c>
      <x:c r="E35" s="19" t="n">
        <x:v>8000</x:v>
      </x:c>
      <x:c r="F35" s="19" t="n">
        <x:v>40000</x:v>
      </x:c>
      <x:c r="G35" s="19" t="str">
        <x:v>Услуги</x:v>
      </x:c>
      <x:c r="H35" s="19" t="str">
        <x:v>По объёму проекта</x:v>
      </x:c>
      <x:c r="I35" s="19" t="e">
        <x:f>D35*(1+Настройки!$B$2)*(1+Настройки!$B$4)</x:f>
      </x:c>
      <x:c r="J35" s="19" t="e">
        <x:f>I35*Настройки!$B$3</x:f>
      </x:c>
      <x:c r="K35" s="19" t="e">
        <x:f>I35+J35</x:f>
      </x:c>
    </x:row>
    <x:row r="36">
      <x:c r="A36" s="17" t="str">
        <x:v>Документация</x:v>
      </x:c>
      <x:c r="B36" s="17" t="str">
        <x:v>Проектирование видеонаблюдения</x:v>
      </x:c>
      <x:c r="C36" s="17" t="str">
        <x:v>точка</x:v>
      </x:c>
      <x:c r="D36" s="19" t="n">
        <x:v>3000</x:v>
      </x:c>
      <x:c r="E36" s="19" t="n">
        <x:v>1800</x:v>
      </x:c>
      <x:c r="F36" s="19" t="n">
        <x:v>5000</x:v>
      </x:c>
      <x:c r="G36" s="19" t="str">
        <x:v>Услуги</x:v>
      </x:c>
      <x:c r="H36" s="19" t="str">
        <x:v>Минимальный заказ 30000</x:v>
      </x:c>
      <x:c r="I36" s="19" t="e">
        <x:f>D36*(1+Настройки!$B$2)*(1+Настройки!$B$4)</x:f>
      </x:c>
      <x:c r="J36" s="19" t="e">
        <x:f>I36*Настройки!$B$3</x:f>
      </x:c>
      <x:c r="K36" s="19" t="e">
        <x:f>I36+J36</x:f>
      </x:c>
    </x:row>
    <x:row r="37">
      <x:c r="A37" s="17" t="str">
        <x:v>Документация</x:v>
      </x:c>
      <x:c r="B37" s="17" t="str">
        <x:v>Проектирование СКУД</x:v>
      </x:c>
      <x:c r="C37" s="17" t="str">
        <x:v>дверь</x:v>
      </x:c>
      <x:c r="D37" s="19" t="n">
        <x:v>5000</x:v>
      </x:c>
      <x:c r="E37" s="19" t="n">
        <x:v>3000</x:v>
      </x:c>
      <x:c r="F37" s="19" t="n">
        <x:v>8000</x:v>
      </x:c>
      <x:c r="G37" s="19" t="str">
        <x:v>Услуги</x:v>
      </x:c>
      <x:c r="H37" s="19" t="str">
        <x:v>Минимальный заказ 30000</x:v>
      </x:c>
      <x:c r="I37" s="19" t="e">
        <x:f>D37*(1+Настройки!$B$2)*(1+Настройки!$B$4)</x:f>
      </x:c>
      <x:c r="J37" s="19" t="e">
        <x:f>I37*Настройки!$B$3</x:f>
      </x:c>
      <x:c r="K37" s="19" t="e">
        <x:f>I37+J37</x:f>
      </x:c>
    </x:row>
    <x:row r="38">
      <x:c r="A38" s="17" t="str">
        <x:v>Документация</x:v>
      </x:c>
      <x:c r="B38" s="17" t="str">
        <x:v>Подготовка тендерного пакета</x:v>
      </x:c>
      <x:c r="C38" s="17" t="str">
        <x:v>закупка</x:v>
      </x:c>
      <x:c r="D38" s="19" t="n">
        <x:v>25000</x:v>
      </x:c>
      <x:c r="E38" s="19" t="n">
        <x:v>15000</x:v>
      </x:c>
      <x:c r="F38" s="19" t="n">
        <x:v>60000</x:v>
      </x:c>
      <x:c r="G38" s="19" t="str">
        <x:v>Услуги</x:v>
      </x:c>
      <x:c r="H38" s="19" t="str">
        <x:v>Без подачи и ЭП</x:v>
      </x:c>
      <x:c r="I38" s="19" t="e">
        <x:f>D38*(1+Настройки!$B$2)*(1+Настройки!$B$4)</x:f>
      </x:c>
      <x:c r="J38" s="19" t="e">
        <x:f>I38*Настройки!$B$3</x:f>
      </x:c>
      <x:c r="K38" s="19" t="e">
        <x:f>I38+J38</x:f>
      </x:c>
    </x:row>
    <x:row r="39">
      <x:c r="A39" s="17" t="str">
        <x:v>Логистика</x:v>
      </x:c>
      <x:c r="B39" s="17" t="str">
        <x:v>Выезд инженера по Москве</x:v>
      </x:c>
      <x:c r="C39" s="17" t="str">
        <x:v>выезд</x:v>
      </x:c>
      <x:c r="D39" s="19" t="n">
        <x:v>5000</x:v>
      </x:c>
      <x:c r="E39" s="19" t="n">
        <x:v>3500</x:v>
      </x:c>
      <x:c r="F39" s="19" t="n">
        <x:v>8000</x:v>
      </x:c>
      <x:c r="G39" s="19" t="str">
        <x:v>Услуги</x:v>
      </x:c>
      <x:c r="H39" s="19" t="str"/>
      <x:c r="I39" s="19" t="e">
        <x:f>D39*(1+Настройки!$B$2)*(1+Настройки!$B$4)</x:f>
      </x:c>
      <x:c r="J39" s="19" t="e">
        <x:f>I39*Настройки!$B$3</x:f>
      </x:c>
      <x:c r="K39" s="19" t="e">
        <x:f>I39+J39</x:f>
      </x:c>
    </x:row>
    <x:row r="40">
      <x:c r="A40" s="17" t="str">
        <x:v>Логистика</x:v>
      </x:c>
      <x:c r="B40" s="17" t="str">
        <x:v>Доставка по Москве</x:v>
      </x:c>
      <x:c r="C40" s="17" t="str">
        <x:v>рейс</x:v>
      </x:c>
      <x:c r="D40" s="19" t="n">
        <x:v>4500</x:v>
      </x:c>
      <x:c r="E40" s="19" t="n">
        <x:v>3000</x:v>
      </x:c>
      <x:c r="F40" s="19" t="n">
        <x:v>8000</x:v>
      </x:c>
      <x:c r="G40" s="19" t="str">
        <x:v>Услуги</x:v>
      </x:c>
      <x:c r="H40" s="19" t="str">
        <x:v>До 1,5 т</x:v>
      </x:c>
      <x:c r="I40" s="19" t="e">
        <x:f>D40*(1+Настройки!$B$2)*(1+Настройки!$B$4)</x:f>
      </x:c>
      <x:c r="J40" s="19" t="e">
        <x:f>I40*Настройки!$B$3</x:f>
      </x:c>
      <x:c r="K40" s="19" t="e">
        <x:f>I40+J40</x:f>
      </x:c>
    </x:row>
    <x:row r="41">
      <x:c r="A41" s="17" t="str">
        <x:v>Логистика</x:v>
      </x:c>
      <x:c r="B41" s="17" t="str">
        <x:v>Аварийный/срочный выезд</x:v>
      </x:c>
      <x:c r="C41" s="17" t="str">
        <x:v>выезд</x:v>
      </x:c>
      <x:c r="D41" s="19" t="n">
        <x:v>9000</x:v>
      </x:c>
      <x:c r="E41" s="19" t="n">
        <x:v>6000</x:v>
      </x:c>
      <x:c r="F41" s="19" t="n">
        <x:v>15000</x:v>
      </x:c>
      <x:c r="G41" s="19" t="str">
        <x:v>Услуги</x:v>
      </x:c>
      <x:c r="H41" s="19" t="str"/>
      <x:c r="I41" s="19" t="e">
        <x:f>D41*(1+Настройки!$B$2)*(1+Настройки!$B$4)</x:f>
      </x:c>
      <x:c r="J41" s="19" t="e">
        <x:f>I41*Настройки!$B$3</x:f>
      </x:c>
      <x:c r="K41" s="19" t="e">
        <x:f>I41+J41</x:f>
      </x:c>
    </x:row>
    <x:row r="42">
      <x:c r="A42" s="17" t="str">
        <x:v>Материалы</x:v>
      </x:c>
      <x:c r="B42" s="17" t="str">
        <x:v>Кабель UTP cat.5e внутренний</x:v>
      </x:c>
      <x:c r="C42" s="17" t="str">
        <x:v>м</x:v>
      </x:c>
      <x:c r="D42" s="19" t="n">
        <x:v>45</x:v>
      </x:c>
      <x:c r="E42" s="19" t="n">
        <x:v>30</x:v>
      </x:c>
      <x:c r="F42" s="19" t="n">
        <x:v>70</x:v>
      </x:c>
      <x:c r="G42" s="19" t="str">
        <x:v>Материал</x:v>
      </x:c>
      <x:c r="H42" s="19" t="str">
        <x:v>Ориентир, зависит от бренда</x:v>
      </x:c>
      <x:c r="I42" s="19" t="e">
        <x:f>D42*(1+Настройки!$B$2)*(1+Настройки!$B$4)</x:f>
      </x:c>
      <x:c r="J42" s="19" t="e">
        <x:f>I42*Настройки!$B$3</x:f>
      </x:c>
      <x:c r="K42" s="19" t="e">
        <x:f>I42+J42</x:f>
      </x:c>
    </x:row>
    <x:row r="43">
      <x:c r="A43" s="17" t="str">
        <x:v>Материалы</x:v>
      </x:c>
      <x:c r="B43" s="17" t="str">
        <x:v>Кабель UTP cat.5e наружный</x:v>
      </x:c>
      <x:c r="C43" s="17" t="str">
        <x:v>м</x:v>
      </x:c>
      <x:c r="D43" s="19" t="n">
        <x:v>65</x:v>
      </x:c>
      <x:c r="E43" s="19" t="n">
        <x:v>45</x:v>
      </x:c>
      <x:c r="F43" s="19" t="n">
        <x:v>95</x:v>
      </x:c>
      <x:c r="G43" s="19" t="str">
        <x:v>Материал</x:v>
      </x:c>
      <x:c r="H43" s="19" t="str">
        <x:v>Ориентир</x:v>
      </x:c>
      <x:c r="I43" s="19" t="e">
        <x:f>D43*(1+Настройки!$B$2)*(1+Настройки!$B$4)</x:f>
      </x:c>
      <x:c r="J43" s="19" t="e">
        <x:f>I43*Настройки!$B$3</x:f>
      </x:c>
      <x:c r="K43" s="19" t="e">
        <x:f>I43+J43</x:f>
      </x:c>
    </x:row>
    <x:row r="44">
      <x:c r="A44" s="17" t="str">
        <x:v>Материалы</x:v>
      </x:c>
      <x:c r="B44" s="17" t="str">
        <x:v>Гофра ПВХ 20 мм</x:v>
      </x:c>
      <x:c r="C44" s="17" t="str">
        <x:v>м</x:v>
      </x:c>
      <x:c r="D44" s="19" t="n">
        <x:v>35</x:v>
      </x:c>
      <x:c r="E44" s="19" t="n">
        <x:v>25</x:v>
      </x:c>
      <x:c r="F44" s="19" t="n">
        <x:v>55</x:v>
      </x:c>
      <x:c r="G44" s="19" t="str">
        <x:v>Материал</x:v>
      </x:c>
      <x:c r="H44" s="19" t="str">
        <x:v>Ориентир</x:v>
      </x:c>
      <x:c r="I44" s="19" t="e">
        <x:f>D44*(1+Настройки!$B$2)*(1+Настройки!$B$4)</x:f>
      </x:c>
      <x:c r="J44" s="19" t="e">
        <x:f>I44*Настройки!$B$3</x:f>
      </x:c>
      <x:c r="K44" s="19" t="e">
        <x:f>I44+J44</x:f>
      </x:c>
    </x:row>
    <x:row r="45">
      <x:c r="A45" s="17" t="str">
        <x:v>Материалы</x:v>
      </x:c>
      <x:c r="B45" s="17" t="str">
        <x:v>Монтажная коробка для камеры</x:v>
      </x:c>
      <x:c r="C45" s="17" t="str">
        <x:v>шт</x:v>
      </x:c>
      <x:c r="D45" s="19" t="n">
        <x:v>900</x:v>
      </x:c>
      <x:c r="E45" s="19" t="n">
        <x:v>600</x:v>
      </x:c>
      <x:c r="F45" s="19" t="n">
        <x:v>1500</x:v>
      </x:c>
      <x:c r="G45" s="19" t="str">
        <x:v>Материал</x:v>
      </x:c>
      <x:c r="H45" s="19" t="str">
        <x:v>Ориентир</x:v>
      </x:c>
      <x:c r="I45" s="19" t="e">
        <x:f>D45*(1+Настройки!$B$2)*(1+Настройки!$B$4)</x:f>
      </x:c>
      <x:c r="J45" s="19" t="e">
        <x:f>I45*Настройки!$B$3</x:f>
      </x:c>
      <x:c r="K45" s="19" t="e">
        <x:f>I45+J45</x:f>
      </x:c>
    </x:row>
    <x:row r="46">
      <x:c r="A46" s="17" t="str">
        <x:v>Материалы</x:v>
      </x:c>
      <x:c r="B46" s="17" t="str">
        <x:v>Блок питания 12 В 3 А</x:v>
      </x:c>
      <x:c r="C46" s="17" t="str">
        <x:v>шт</x:v>
      </x:c>
      <x:c r="D46" s="19" t="n">
        <x:v>2200</x:v>
      </x:c>
      <x:c r="E46" s="19" t="n">
        <x:v>1500</x:v>
      </x:c>
      <x:c r="F46" s="19" t="n">
        <x:v>3500</x:v>
      </x:c>
      <x:c r="G46" s="19" t="str">
        <x:v>Оборудование</x:v>
      </x:c>
      <x:c r="H46" s="19" t="str">
        <x:v>Ориентир</x:v>
      </x:c>
      <x:c r="I46" s="19" t="e">
        <x:f>D46*(1+Настройки!$B$2)*(1+Настройки!$B$4)</x:f>
      </x:c>
      <x:c r="J46" s="19" t="e">
        <x:f>I46*Настройки!$B$3</x:f>
      </x:c>
      <x:c r="K46" s="19" t="e">
        <x:f>I46+J46</x:f>
      </x:c>
    </x:row>
    <x:row r="47">
      <x:c r="A47" s="17" t="str">
        <x:v>Материалы</x:v>
      </x:c>
      <x:c r="B47" s="17" t="str">
        <x:v>ИБП малой мощности</x:v>
      </x:c>
      <x:c r="C47" s="17" t="str">
        <x:v>шт</x:v>
      </x:c>
      <x:c r="D47" s="19" t="n">
        <x:v>12000</x:v>
      </x:c>
      <x:c r="E47" s="19" t="n">
        <x:v>8000</x:v>
      </x:c>
      <x:c r="F47" s="19" t="n">
        <x:v>20000</x:v>
      </x:c>
      <x:c r="G47" s="19" t="str">
        <x:v>Оборудование</x:v>
      </x:c>
      <x:c r="H47" s="19" t="str">
        <x:v>Ориентир</x:v>
      </x:c>
      <x:c r="I47" s="19" t="e">
        <x:f>D47*(1+Настройки!$B$2)*(1+Настройки!$B$4)</x:f>
      </x:c>
      <x:c r="J47" s="19" t="e">
        <x:f>I47*Настройки!$B$3</x:f>
      </x:c>
      <x:c r="K47" s="19" t="e">
        <x:f>I47+J47</x:f>
      </x:c>
    </x:row>
    <x:row r="48">
      <x:c r="A48" s="17" t="str">
        <x:v>Материалы</x:v>
      </x:c>
      <x:c r="B48" s="17" t="str">
        <x:v>PoE-коммутатор 8 портов</x:v>
      </x:c>
      <x:c r="C48" s="17" t="str">
        <x:v>шт</x:v>
      </x:c>
      <x:c r="D48" s="19" t="n">
        <x:v>15000</x:v>
      </x:c>
      <x:c r="E48" s="19" t="n">
        <x:v>9000</x:v>
      </x:c>
      <x:c r="F48" s="19" t="n">
        <x:v>25000</x:v>
      </x:c>
      <x:c r="G48" s="19" t="str">
        <x:v>Оборудование</x:v>
      </x:c>
      <x:c r="H48" s="19" t="str">
        <x:v>Ориентир</x:v>
      </x:c>
      <x:c r="I48" s="19" t="e">
        <x:f>D48*(1+Настройки!$B$2)*(1+Настройки!$B$4)</x:f>
      </x:c>
      <x:c r="J48" s="19" t="e">
        <x:f>I48*Настройки!$B$3</x:f>
      </x:c>
      <x:c r="K48" s="19" t="e">
        <x:f>I48+J48</x:f>
      </x:c>
    </x:row>
    <x:row r="49">
      <x:c r="A49" s="17" t="str">
        <x:v>Материалы</x:v>
      </x:c>
      <x:c r="B49" s="17" t="str">
        <x:v>PoE-коммутатор 24 порта</x:v>
      </x:c>
      <x:c r="C49" s="17" t="str">
        <x:v>шт</x:v>
      </x:c>
      <x:c r="D49" s="19" t="n">
        <x:v>45000</x:v>
      </x:c>
      <x:c r="E49" s="19" t="n">
        <x:v>30000</x:v>
      </x:c>
      <x:c r="F49" s="19" t="n">
        <x:v>75000</x:v>
      </x:c>
      <x:c r="G49" s="19" t="str">
        <x:v>Оборудование</x:v>
      </x:c>
      <x:c r="H49" s="19" t="str">
        <x:v>Ориентир</x:v>
      </x:c>
      <x:c r="I49" s="19" t="e">
        <x:f>D49*(1+Настройки!$B$2)*(1+Настройки!$B$4)</x:f>
      </x:c>
      <x:c r="J49" s="19" t="e">
        <x:f>I49*Настройки!$B$3</x:f>
      </x:c>
      <x:c r="K49" s="19" t="e">
        <x:f>I49+J49</x:f>
      </x:c>
    </x:row>
    <x:row r="50">
      <x:c r="A50" s="17" t="str">
        <x:v>Материалы</x:v>
      </x:c>
      <x:c r="B50" s="17" t="str">
        <x:v>HDD surveillance 8 ТБ</x:v>
      </x:c>
      <x:c r="C50" s="17" t="str">
        <x:v>шт</x:v>
      </x:c>
      <x:c r="D50" s="19" t="n">
        <x:v>28000</x:v>
      </x:c>
      <x:c r="E50" s="19" t="n">
        <x:v>22000</x:v>
      </x:c>
      <x:c r="F50" s="19" t="n">
        <x:v>38000</x:v>
      </x:c>
      <x:c r="G50" s="19" t="str">
        <x:v>Оборудование</x:v>
      </x:c>
      <x:c r="H50" s="19" t="str">
        <x:v>Ориентир</x:v>
      </x:c>
      <x:c r="I50" s="19" t="e">
        <x:f>D50*(1+Настройки!$B$2)*(1+Настройки!$B$4)</x:f>
      </x:c>
      <x:c r="J50" s="19" t="e">
        <x:f>I50*Настройки!$B$3</x:f>
      </x:c>
      <x:c r="K50" s="19" t="e">
        <x:f>I50+J50</x:f>
      </x:c>
    </x:row>
    <x:row r="51">
      <x:c r="A51" s="17" t="str">
        <x:v>Материалы</x:v>
      </x:c>
      <x:c r="B51" s="17" t="str">
        <x:v>IP-камера 4 Мп базовая</x:v>
      </x:c>
      <x:c r="C51" s="17" t="str">
        <x:v>шт</x:v>
      </x:c>
      <x:c r="D51" s="19" t="n">
        <x:v>12000</x:v>
      </x:c>
      <x:c r="E51" s="19" t="n">
        <x:v>8000</x:v>
      </x:c>
      <x:c r="F51" s="19" t="n">
        <x:v>18000</x:v>
      </x:c>
      <x:c r="G51" s="19" t="str">
        <x:v>Оборудование</x:v>
      </x:c>
      <x:c r="H51" s="19" t="str">
        <x:v>Ориентир</x:v>
      </x:c>
      <x:c r="I51" s="19" t="e">
        <x:f>D51*(1+Настройки!$B$2)*(1+Настройки!$B$4)</x:f>
      </x:c>
      <x:c r="J51" s="19" t="e">
        <x:f>I51*Настройки!$B$3</x:f>
      </x:c>
      <x:c r="K51" s="19" t="e">
        <x:f>I51+J51</x:f>
      </x:c>
    </x:row>
  </x:sheetData>
  <x:conditionalFormatting sqref="I2:I51">
    <x:cfRule type="dataBar" priority="1">
      <x:dataBar>
        <x:cfvo type="min"/>
        <x:cfvo type="max"/>
        <x:color rgb="FF1D81CF"/>
      </x:dataBar>
      <x:extLst>
        <x:ext xmlns:x14="http://schemas.microsoft.com/office/spreadsheetml/2009/9/main" uri="{B025F937-C7B1-47D3-B67F-A62EFF666E3E}">
          <x14:id>{340348F9-D6CD-54A8-7800-5EBFC3A443C7}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3b165533c8f435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0348F9-D6CD-54A8-7800-5EBFC3A443C7}">
            <x14:dataBar gradient="1">
              <x14:cfvo type="min"/>
              <x14:cfvo type="max"/>
              <x14:fillColor rgb="FF1D81CF"/>
            </x14:dataBar>
          </x14:cfRule>
          <xm:sqref>I2:I51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4" t="str">
        <x:v>Параметр</x:v>
      </x:c>
      <x:c r="B1" s="4" t="str">
        <x:v>Значение</x:v>
      </x:c>
    </x:row>
    <x:row r="2">
      <x:c r="A2" s="10" t="str">
        <x:v>Минимальная прибыль к себестоимости</x:v>
      </x:c>
      <x:c r="B2" s="8" t="n">
        <x:v>0.3</x:v>
      </x:c>
    </x:row>
    <x:row r="3">
      <x:c r="A3" s="10" t="str">
        <x:v>Базовый НДС (редактируется)</x:v>
      </x:c>
      <x:c r="B3" s="8" t="n">
        <x:v>0.22</x:v>
      </x:c>
    </x:row>
    <x:row r="4">
      <x:c r="A4" s="10" t="str">
        <x:v>Резерв на риски</x:v>
      </x:c>
      <x:c r="B4" s="8" t="n">
        <x:v>0.05</x:v>
      </x:c>
    </x:row>
    <x:row r="5">
      <x:c r="A5" s="10" t="str">
        <x:v>Коэффициент срочности</x:v>
      </x:c>
      <x:c r="B5" s="8" t="n">
        <x:v>1.2</x:v>
      </x:c>
    </x:row>
    <x:row r="6">
      <x:c r="A6" s="10" t="str">
        <x:v>Коэффициент ночных работ</x:v>
      </x:c>
      <x:c r="B6" s="8" t="n">
        <x:v>1.5</x:v>
      </x:c>
    </x:row>
    <x:row r="7">
      <x:c r="A7" s="10" t="str">
        <x:v>Коэффициент высотных работ</x:v>
      </x:c>
      <x:c r="B7" s="8" t="n">
        <x:v>1.35</x:v>
      </x:c>
    </x:row>
    <x:row r="8">
      <x:c r="A8" s="10" t="str">
        <x:v>Дата актуализации</x:v>
      </x:c>
      <x:c r="B8" s="10" t="str">
        <x:v>2026-07-10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50" hidden="0" customWidth="1"/>
  </x:cols>
  <x:sheetData>
    <x:row r="1">
      <x:c r="A1" s="11" t="str">
        <x:v>Источник</x:v>
      </x:c>
      <x:c r="B1" s="11" t="str">
        <x:v>URL</x:v>
      </x:c>
      <x:c r="C1" s="11" t="str">
        <x:v>Что использовано</x:v>
      </x:c>
    </x:row>
    <x:row r="2">
      <x:c r="A2" t="str">
        <x:v>PSSG — цены на системы безопасности</x:v>
      </x:c>
      <x:c r="B2" t="str">
        <x:v>https://pssg.ru/price/</x:v>
      </x:c>
      <x:c r="C2" t="str">
        <x:v>Расценки на монтаж СКУД, считывателей, кнопок и др.</x:v>
      </x:c>
    </x:row>
    <x:row r="3">
      <x:c r="A3" t="str">
        <x:v>IPSDI — видеонаблюдение</x:v>
      </x:c>
      <x:c r="B3" t="str">
        <x:v>https://ipsdi.ru/cctv-price/</x:v>
      </x:c>
      <x:c r="C3" t="str">
        <x:v>Монтаж камер и настройка регистратора</x:v>
      </x:c>
    </x:row>
    <x:row r="4">
      <x:c r="A4" t="str">
        <x:v>Legis-Тех — обслуживание видеонаблюдения</x:v>
      </x:c>
      <x:c r="B4" t="str">
        <x:v>https://legis-teh.ru/services/videonablyudenie/obsluzhivanie-videonablyudeniya/</x:v>
      </x:c>
      <x:c r="C4" t="str">
        <x:v>Ориентиры обслуживания камер</x:v>
      </x:c>
    </x:row>
    <x:row r="5">
      <x:c r="A5" t="str">
        <x:v>IT Federation — монтаж СКУД</x:v>
      </x:c>
      <x:c r="B5" t="str">
        <x:v>https://it-federation.ru/videonablyudenie/skud/sks/montazh-skud/tarifyi-na-montazhnyie-rabotyi-po-skud.html</x:v>
      </x:c>
      <x:c r="C5" t="str">
        <x:v>Монтаж считывателей, доводчиков и панелей</x:v>
      </x:c>
    </x:row>
    <x:row r="6">
      <x:c r="A6" t="str">
        <x:v>IT Federation — обслуживание СКУД</x:v>
      </x:c>
      <x:c r="B6" t="str">
        <x:v>https://it-federation.ru/videonablyudenie/skud/sks/texnicheskaya-podderzhka-i-obsluzhivanie-skud/prajs-na-texnicheskoe-obsluzhivanie-skud.html</x:v>
      </x:c>
      <x:c r="C6" t="str">
        <x:v>Обследование и обслуживание</x:v>
      </x:c>
    </x:row>
    <x:row r="7">
      <x:c r="A7" t="str">
        <x:v>Security Russia — СКУД</x:v>
      </x:c>
      <x:c r="B7" t="str">
        <x:v>https://securityrussia.com/uslugi/montazh-skud/</x:v>
      </x:c>
      <x:c r="C7" t="str">
        <x:v>Стоимость решения на дверь и материалы</x:v>
      </x:c>
    </x:row>
    <x:row r="8">
      <x:c r="A8" t="str">
        <x:v>Комментарий</x:v>
      </x:c>
      <x:c r="B8" t="str"/>
      <x:c r="C8" t="str">
        <x:v>Цены ориентировочные, не являются офертой. Перед каждой заявкой требуется запрос цен у поставщиков и проверка условий объекта.</x:v>
      </x:c>
    </x:row>
  </x:sheetData>
  <x:pageMargins left="0.7" right="0.7" top="0.75" bottom="0.75" header="0.3" footer="0.3"/>
</x:worksheet>
</file>